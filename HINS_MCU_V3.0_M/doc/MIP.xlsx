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3.0_M\doc\"/>
    </mc:Choice>
  </mc:AlternateContent>
  <xr:revisionPtr revIDLastSave="0" documentId="13_ncr:1_{E16BD10F-317C-4419-82C5-507EA518FA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P" sheetId="1" r:id="rId1"/>
    <sheet name="PC 回傳值意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G4" i="1"/>
  <c r="G5" i="1"/>
  <c r="I5" i="1" s="1"/>
  <c r="G12" i="1"/>
  <c r="I12" i="1" s="1"/>
  <c r="G16" i="1" l="1"/>
  <c r="I16" i="1" s="1"/>
  <c r="G13" i="1"/>
  <c r="I13" i="1" s="1"/>
  <c r="G14" i="1"/>
  <c r="I14" i="1" s="1"/>
  <c r="G3" i="1"/>
  <c r="I3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5" i="1"/>
  <c r="I15" i="1" s="1"/>
  <c r="G2" i="1"/>
  <c r="I2" i="1" s="1"/>
</calcChain>
</file>

<file path=xl/sharedStrings.xml><?xml version="1.0" encoding="utf-8"?>
<sst xmlns="http://schemas.openxmlformats.org/spreadsheetml/2006/main" count="95" uniqueCount="65">
  <si>
    <t>功能</t>
    <phoneticPr fontId="1" type="noConversion"/>
  </si>
  <si>
    <t>讀 GPIO1 功能配置</t>
    <phoneticPr fontId="1" type="noConversion"/>
  </si>
  <si>
    <t>Descriptor Set</t>
    <phoneticPr fontId="1" type="noConversion"/>
  </si>
  <si>
    <t>Command Descriptor</t>
    <phoneticPr fontId="1" type="noConversion"/>
  </si>
  <si>
    <t>0C</t>
    <phoneticPr fontId="1" type="noConversion"/>
  </si>
  <si>
    <t>Function Selector</t>
    <phoneticPr fontId="1" type="noConversion"/>
  </si>
  <si>
    <t>01</t>
    <phoneticPr fontId="1" type="noConversion"/>
  </si>
  <si>
    <t>GPIO #</t>
    <phoneticPr fontId="1" type="noConversion"/>
  </si>
  <si>
    <t>完整 MIP</t>
    <phoneticPr fontId="1" type="noConversion"/>
  </si>
  <si>
    <t>02</t>
    <phoneticPr fontId="1" type="noConversion"/>
  </si>
  <si>
    <t>讀 UART2 br</t>
    <phoneticPr fontId="1" type="noConversion"/>
  </si>
  <si>
    <t>byte0  : version</t>
  </si>
  <si>
    <t>byte1  : flags</t>
  </si>
  <si>
    <t>byte2  : ack_code</t>
  </si>
  <si>
    <t>byte3  : ack_echo</t>
  </si>
  <si>
    <t>byte4  : resp_desc</t>
  </si>
  <si>
    <t>byte5  : resp_len_L</t>
  </si>
  <si>
    <t>byte6  : resp_len_H</t>
  </si>
  <si>
    <t>byte7+ : resp_data[resp_len]</t>
  </si>
  <si>
    <t>75 65 01 04 04 09 02 12 00 C6</t>
    <phoneticPr fontId="1" type="noConversion"/>
  </si>
  <si>
    <t>完整 PC 指令</t>
    <phoneticPr fontId="1" type="noConversion"/>
  </si>
  <si>
    <t>75 65 0C 04 04 41 02 01 32 9F</t>
    <phoneticPr fontId="1" type="noConversion"/>
  </si>
  <si>
    <t>Response Descriptor</t>
    <phoneticPr fontId="1" type="noConversion"/>
  </si>
  <si>
    <t>C1</t>
    <phoneticPr fontId="1" type="noConversion"/>
  </si>
  <si>
    <t>09</t>
    <phoneticPr fontId="1" type="noConversion"/>
  </si>
  <si>
    <t>89</t>
    <phoneticPr fontId="1" type="noConversion"/>
  </si>
  <si>
    <t>讀 GPIO2 功能配置</t>
    <phoneticPr fontId="1" type="noConversion"/>
  </si>
  <si>
    <t>75 65 0C 04 04 41 02 02 33 A0</t>
    <phoneticPr fontId="1" type="noConversion"/>
  </si>
  <si>
    <t>75 65 01 08 08 09 01 12 00 03 84 00 8E 15</t>
    <phoneticPr fontId="1" type="noConversion"/>
  </si>
  <si>
    <t>設定 UART2 br 230400</t>
    <phoneticPr fontId="1" type="noConversion"/>
  </si>
  <si>
    <t>設定 UART2 br 115200</t>
    <phoneticPr fontId="1" type="noConversion"/>
  </si>
  <si>
    <t>75 65 01 08 08 09 01 12 00 01 C2 00 CA 8B</t>
    <phoneticPr fontId="1" type="noConversion"/>
  </si>
  <si>
    <t>查詢 UART2 功能</t>
    <phoneticPr fontId="1" type="noConversion"/>
  </si>
  <si>
    <t>7F</t>
    <phoneticPr fontId="1" type="noConversion"/>
  </si>
  <si>
    <t>82</t>
    <phoneticPr fontId="1" type="noConversion"/>
  </si>
  <si>
    <t>75 65 7F 04 04 02 02 12 77 A5</t>
    <phoneticPr fontId="1" type="noConversion"/>
  </si>
  <si>
    <t>開啟 UART2 MIP 功能</t>
    <phoneticPr fontId="1" type="noConversion"/>
  </si>
  <si>
    <t>75 65 7F 0C 0C 02 01 12 00 00 00 01 00 00 00 01 88 21</t>
    <phoneticPr fontId="1" type="noConversion"/>
  </si>
  <si>
    <t>MIP 長度</t>
    <phoneticPr fontId="1" type="noConversion"/>
  </si>
  <si>
    <t>49</t>
    <phoneticPr fontId="1" type="noConversion"/>
  </si>
  <si>
    <t>0F</t>
    <phoneticPr fontId="1" type="noConversion"/>
  </si>
  <si>
    <t>8F</t>
    <phoneticPr fontId="1" type="noConversion"/>
  </si>
  <si>
    <t>75 65 01 02 02 02 E1 C7</t>
    <phoneticPr fontId="1" type="noConversion"/>
  </si>
  <si>
    <t>75 65 0C 08 08 0F 01 82 01 49 00 64 36 0F</t>
    <phoneticPr fontId="1" type="noConversion"/>
  </si>
  <si>
    <t>設定輸出格式為 GNSS 雙天線 Heading@10 Hz</t>
    <phoneticPr fontId="1" type="noConversion"/>
  </si>
  <si>
    <t>11</t>
    <phoneticPr fontId="1" type="noConversion"/>
  </si>
  <si>
    <t>75 65 01 02 02 06 E5 CB</t>
    <phoneticPr fontId="1" type="noConversion"/>
  </si>
  <si>
    <t>06</t>
    <phoneticPr fontId="1" type="noConversion"/>
  </si>
  <si>
    <t>設定 Filter Data 數據流Enable開啟</t>
    <phoneticPr fontId="1" type="noConversion"/>
  </si>
  <si>
    <t>75 65 0C 05 05 11 01 82 01 85 1C</t>
    <phoneticPr fontId="1" type="noConversion"/>
  </si>
  <si>
    <t>儲存至 Flash</t>
    <phoneticPr fontId="1" type="noConversion"/>
  </si>
  <si>
    <t>30</t>
    <phoneticPr fontId="1" type="noConversion"/>
  </si>
  <si>
    <t>75 65 0C 03 03 30 03 1F 45</t>
    <phoneticPr fontId="1" type="noConversion"/>
  </si>
  <si>
    <t>設定輸出格式為 GNSS 雙天線 Heading@50 Hz</t>
    <phoneticPr fontId="1" type="noConversion"/>
  </si>
  <si>
    <t>75 65 0C 08 08 0F 01 82 01 49 00 14 E6 BF</t>
    <phoneticPr fontId="1" type="noConversion"/>
  </si>
  <si>
    <t>停止當前串流(Set to idle)</t>
    <phoneticPr fontId="1" type="noConversion"/>
  </si>
  <si>
    <t>解除閒置：發送 Resume (out of idle)</t>
    <phoneticPr fontId="1" type="noConversion"/>
  </si>
  <si>
    <t>讀 GNSS Dual Antenna Status</t>
    <phoneticPr fontId="1" type="noConversion"/>
  </si>
  <si>
    <t>寫 True Heading</t>
    <phoneticPr fontId="1" type="noConversion"/>
  </si>
  <si>
    <t>13</t>
    <phoneticPr fontId="1" type="noConversion"/>
  </si>
  <si>
    <t>31</t>
    <phoneticPr fontId="1" type="noConversion"/>
  </si>
  <si>
    <t>設定 GPIO1 為 UART2 Tx</t>
    <phoneticPr fontId="1" type="noConversion"/>
  </si>
  <si>
    <t>75 65 0C 07 07 41 01 01 05 21 00 5D AE</t>
    <phoneticPr fontId="1" type="noConversion"/>
  </si>
  <si>
    <t>設定 GPIO2 為 UART2 Rx</t>
    <phoneticPr fontId="1" type="noConversion"/>
  </si>
  <si>
    <t>75 65 0C 07 07 41 01 02 05 22 02 61 B6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</si>
</sst>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4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0</xdr:rowOff>
    </xdr:from>
    <xdr:to>
      <xdr:col>11</xdr:col>
      <xdr:colOff>29387</xdr:colOff>
      <xdr:row>9</xdr:row>
      <xdr:rowOff>9837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F285EE-8153-57B0-8CDE-DD52B84E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0"/>
          <a:ext cx="5820587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9</xdr:row>
      <xdr:rowOff>28575</xdr:rowOff>
    </xdr:from>
    <xdr:to>
      <xdr:col>10</xdr:col>
      <xdr:colOff>315083</xdr:colOff>
      <xdr:row>26</xdr:row>
      <xdr:rowOff>133952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F4615C0-B00F-999B-EDB6-7945D084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7950" y="2257425"/>
          <a:ext cx="5430008" cy="4315427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0</xdr:row>
      <xdr:rowOff>0</xdr:rowOff>
    </xdr:from>
    <xdr:to>
      <xdr:col>18</xdr:col>
      <xdr:colOff>219677</xdr:colOff>
      <xdr:row>14</xdr:row>
      <xdr:rowOff>38589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AD9AA5-6007-8FD5-B54A-E37C9F63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3925" y="0"/>
          <a:ext cx="4315427" cy="3505689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14</xdr:row>
      <xdr:rowOff>152400</xdr:rowOff>
    </xdr:from>
    <xdr:to>
      <xdr:col>16</xdr:col>
      <xdr:colOff>124250</xdr:colOff>
      <xdr:row>26</xdr:row>
      <xdr:rowOff>28973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3EF71B5-CCA4-F6DA-A60E-85C0F786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6300" y="3619500"/>
          <a:ext cx="3048425" cy="2848373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0</xdr:row>
      <xdr:rowOff>0</xdr:rowOff>
    </xdr:from>
    <xdr:to>
      <xdr:col>27</xdr:col>
      <xdr:colOff>343662</xdr:colOff>
      <xdr:row>13</xdr:row>
      <xdr:rowOff>238608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26F0912-4EAE-6ECB-5562-2F71AF97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11150" y="0"/>
          <a:ext cx="5458587" cy="3458058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14</xdr:row>
      <xdr:rowOff>19050</xdr:rowOff>
    </xdr:from>
    <xdr:to>
      <xdr:col>24</xdr:col>
      <xdr:colOff>29038</xdr:colOff>
      <xdr:row>28</xdr:row>
      <xdr:rowOff>86218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35F1BD9-A44D-FA54-245A-F1DA337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1150" y="3486150"/>
          <a:ext cx="3315163" cy="353426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29</xdr:row>
      <xdr:rowOff>38100</xdr:rowOff>
    </xdr:from>
    <xdr:to>
      <xdr:col>11</xdr:col>
      <xdr:colOff>210076</xdr:colOff>
      <xdr:row>45</xdr:row>
      <xdr:rowOff>124390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75DFC30-CA24-B705-722A-72DF0BDC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125" y="7219950"/>
          <a:ext cx="3772426" cy="404869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28</xdr:row>
      <xdr:rowOff>123825</xdr:rowOff>
    </xdr:from>
    <xdr:to>
      <xdr:col>17</xdr:col>
      <xdr:colOff>143334</xdr:colOff>
      <xdr:row>39</xdr:row>
      <xdr:rowOff>209942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9C9FF9C-BE8A-9395-D8D2-5A156DAD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86825" y="7058025"/>
          <a:ext cx="3286584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B4" sqref="B4:D5"/>
    </sheetView>
  </sheetViews>
  <sheetFormatPr defaultRowHeight="15"/>
  <cols>
    <col min="1" max="1" width="47.625" bestFit="1" customWidth="1"/>
    <col min="2" max="2" width="13.75" style="3" bestFit="1" customWidth="1"/>
    <col min="3" max="3" width="21" style="3" bestFit="1" customWidth="1"/>
    <col min="4" max="4" width="20.375" style="3" bestFit="1" customWidth="1"/>
    <col min="5" max="5" width="17.375" style="3" bestFit="1" customWidth="1"/>
    <col min="6" max="6" width="16" style="2" hidden="1" customWidth="1"/>
    <col min="7" max="7" width="10.25" style="3" bestFit="1" customWidth="1"/>
    <col min="8" max="8" width="53.25" style="3" bestFit="1" customWidth="1"/>
    <col min="9" max="9" width="71.625" style="2" bestFit="1" customWidth="1"/>
    <col min="10" max="10" width="13.75" style="2" bestFit="1" customWidth="1"/>
    <col min="11" max="11" width="14.125" style="2" bestFit="1" customWidth="1"/>
    <col min="12" max="22" width="9.125" style="2"/>
  </cols>
  <sheetData>
    <row r="1" spans="1:9">
      <c r="A1" s="1" t="s">
        <v>0</v>
      </c>
      <c r="B1" s="3" t="s">
        <v>2</v>
      </c>
      <c r="C1" s="3" t="s">
        <v>3</v>
      </c>
      <c r="D1" s="3" t="s">
        <v>22</v>
      </c>
      <c r="E1" s="3" t="s">
        <v>5</v>
      </c>
      <c r="F1" s="3" t="s">
        <v>7</v>
      </c>
      <c r="G1" s="3" t="s">
        <v>38</v>
      </c>
      <c r="H1" s="3" t="s">
        <v>8</v>
      </c>
      <c r="I1" s="3" t="s">
        <v>20</v>
      </c>
    </row>
    <row r="2" spans="1:9">
      <c r="A2" t="s">
        <v>1</v>
      </c>
      <c r="B2" s="3" t="s">
        <v>4</v>
      </c>
      <c r="C2" s="3">
        <v>41</v>
      </c>
      <c r="D2" s="3" t="s">
        <v>23</v>
      </c>
      <c r="E2" s="3" t="s">
        <v>9</v>
      </c>
      <c r="F2" s="3" t="s">
        <v>6</v>
      </c>
      <c r="G2" s="5" t="str">
        <f>DEC2HEX(LEN(SUBSTITUTE(H2," ",""))/2,2)</f>
        <v>0A</v>
      </c>
      <c r="H2" s="3" t="s">
        <v>21</v>
      </c>
      <c r="I2" t="str">
        <f>"BC"&amp;" CB"&amp;" 97 "&amp;G2&amp;" "&amp;H2&amp;" 51"&amp;" 52"</f>
        <v>BC CB 97 0A 75 65 0C 04 04 41 02 01 32 9F 51 52</v>
      </c>
    </row>
    <row r="3" spans="1:9">
      <c r="A3" t="s">
        <v>26</v>
      </c>
      <c r="B3" s="3" t="s">
        <v>4</v>
      </c>
      <c r="C3" s="3">
        <v>41</v>
      </c>
      <c r="D3" s="3" t="s">
        <v>23</v>
      </c>
      <c r="F3" s="3"/>
      <c r="G3" s="5" t="str">
        <f t="shared" ref="G3:G16" si="0">DEC2HEX(LEN(SUBSTITUTE(H3," ",""))/2,2)</f>
        <v>0A</v>
      </c>
      <c r="H3" s="3" t="s">
        <v>27</v>
      </c>
      <c r="I3" t="str">
        <f>"BC"&amp;" CB"&amp;" 97 "&amp;G3&amp;" "&amp;H3&amp;" 51"&amp;" 52"</f>
        <v>BC CB 97 0A 75 65 0C 04 04 41 02 02 33 A0 51 52</v>
      </c>
    </row>
    <row r="4" spans="1:9">
      <c r="A4" t="s">
        <v>61</v>
      </c>
      <c r="B4" s="3" t="s">
        <v>4</v>
      </c>
      <c r="C4" s="3">
        <v>41</v>
      </c>
      <c r="D4" s="3" t="s">
        <v>23</v>
      </c>
      <c r="F4" s="3"/>
      <c r="G4" s="5" t="str">
        <f t="shared" si="0"/>
        <v>0D</v>
      </c>
      <c r="H4" s="3" t="s">
        <v>62</v>
      </c>
      <c r="I4" t="str">
        <f t="shared" ref="I4:I5" si="1">"BC"&amp;" CB"&amp;" 97 "&amp;G4&amp;" "&amp;H4&amp;" 51"&amp;" 52"</f>
        <v>BC CB 97 0D 75 65 0C 07 07 41 01 01 05 21 00 5D AE 51 52</v>
      </c>
    </row>
    <row r="5" spans="1:9">
      <c r="A5" t="s">
        <v>63</v>
      </c>
      <c r="B5" s="3" t="s">
        <v>4</v>
      </c>
      <c r="C5" s="3">
        <v>41</v>
      </c>
      <c r="D5" s="3" t="s">
        <v>23</v>
      </c>
      <c r="F5" s="3"/>
      <c r="G5" s="5" t="str">
        <f t="shared" si="0"/>
        <v>0D</v>
      </c>
      <c r="H5" s="3" t="s">
        <v>64</v>
      </c>
      <c r="I5" t="str">
        <f t="shared" si="1"/>
        <v>BC CB 97 0D 75 65 0C 07 07 41 01 02 05 22 02 61 B6 51 52</v>
      </c>
    </row>
    <row r="6" spans="1:9">
      <c r="A6" t="s">
        <v>10</v>
      </c>
      <c r="B6" s="3" t="s">
        <v>6</v>
      </c>
      <c r="C6" s="3" t="s">
        <v>24</v>
      </c>
      <c r="D6" s="3" t="s">
        <v>25</v>
      </c>
      <c r="E6" s="3" t="s">
        <v>6</v>
      </c>
      <c r="G6" s="5" t="str">
        <f t="shared" si="0"/>
        <v>0A</v>
      </c>
      <c r="H6" s="3" t="s">
        <v>19</v>
      </c>
      <c r="I6" t="str">
        <f>"BC"&amp;" CB"&amp;" 97 "&amp;G6&amp;" "&amp;H6&amp;" 51"&amp;" 52"</f>
        <v>BC CB 97 0A 75 65 01 04 04 09 02 12 00 C6 51 52</v>
      </c>
    </row>
    <row r="7" spans="1:9">
      <c r="A7" t="s">
        <v>29</v>
      </c>
      <c r="B7" s="3" t="s">
        <v>6</v>
      </c>
      <c r="C7" s="3" t="s">
        <v>24</v>
      </c>
      <c r="D7" s="3" t="s">
        <v>25</v>
      </c>
      <c r="G7" s="5" t="str">
        <f t="shared" si="0"/>
        <v>0E</v>
      </c>
      <c r="H7" s="3" t="s">
        <v>28</v>
      </c>
      <c r="I7" t="str">
        <f t="shared" ref="I7:I16" si="2">"BC"&amp;" CB"&amp;" 97 "&amp;G7&amp;" "&amp;H7&amp;" 51"&amp;" 52"</f>
        <v>BC CB 97 0E 75 65 01 08 08 09 01 12 00 03 84 00 8E 15 51 52</v>
      </c>
    </row>
    <row r="8" spans="1:9">
      <c r="A8" t="s">
        <v>30</v>
      </c>
      <c r="B8" s="3" t="s">
        <v>6</v>
      </c>
      <c r="C8" s="3" t="s">
        <v>24</v>
      </c>
      <c r="D8" s="3" t="s">
        <v>25</v>
      </c>
      <c r="G8" s="5" t="str">
        <f t="shared" si="0"/>
        <v>0E</v>
      </c>
      <c r="H8" s="3" t="s">
        <v>31</v>
      </c>
      <c r="I8" t="str">
        <f t="shared" si="2"/>
        <v>BC CB 97 0E 75 65 01 08 08 09 01 12 00 01 C2 00 CA 8B 51 52</v>
      </c>
    </row>
    <row r="9" spans="1:9">
      <c r="A9" t="s">
        <v>32</v>
      </c>
      <c r="B9" s="3" t="s">
        <v>33</v>
      </c>
      <c r="C9" s="3" t="s">
        <v>9</v>
      </c>
      <c r="D9" s="3" t="s">
        <v>34</v>
      </c>
      <c r="G9" s="5" t="str">
        <f t="shared" si="0"/>
        <v>0A</v>
      </c>
      <c r="H9" s="3" t="s">
        <v>35</v>
      </c>
      <c r="I9" t="str">
        <f t="shared" si="2"/>
        <v>BC CB 97 0A 75 65 7F 04 04 02 02 12 77 A5 51 52</v>
      </c>
    </row>
    <row r="10" spans="1:9">
      <c r="A10" t="s">
        <v>36</v>
      </c>
      <c r="B10" s="3" t="s">
        <v>33</v>
      </c>
      <c r="C10" s="3" t="s">
        <v>9</v>
      </c>
      <c r="D10" s="3" t="s">
        <v>34</v>
      </c>
      <c r="G10" s="5" t="str">
        <f t="shared" si="0"/>
        <v>12</v>
      </c>
      <c r="H10" s="3" t="s">
        <v>37</v>
      </c>
      <c r="I10" t="str">
        <f t="shared" si="2"/>
        <v>BC CB 97 12 75 65 7F 0C 0C 02 01 12 00 00 00 01 00 00 00 01 88 21 51 52</v>
      </c>
    </row>
    <row r="11" spans="1:9">
      <c r="A11" t="s">
        <v>44</v>
      </c>
      <c r="B11" s="3" t="s">
        <v>4</v>
      </c>
      <c r="C11" s="3" t="s">
        <v>40</v>
      </c>
      <c r="D11" s="3" t="s">
        <v>41</v>
      </c>
      <c r="E11" s="3" t="s">
        <v>6</v>
      </c>
      <c r="G11" s="5" t="str">
        <f t="shared" si="0"/>
        <v>0E</v>
      </c>
      <c r="H11" s="3" t="s">
        <v>43</v>
      </c>
      <c r="I11" t="str">
        <f t="shared" si="2"/>
        <v>BC CB 97 0E 75 65 0C 08 08 0F 01 82 01 49 00 64 36 0F 51 52</v>
      </c>
    </row>
    <row r="12" spans="1:9">
      <c r="A12" t="s">
        <v>53</v>
      </c>
      <c r="B12" s="3" t="s">
        <v>4</v>
      </c>
      <c r="C12" s="3" t="s">
        <v>40</v>
      </c>
      <c r="D12" s="3" t="s">
        <v>41</v>
      </c>
      <c r="E12" s="3" t="s">
        <v>6</v>
      </c>
      <c r="G12" s="5" t="str">
        <f t="shared" si="0"/>
        <v>0E</v>
      </c>
      <c r="H12" s="3" t="s">
        <v>54</v>
      </c>
      <c r="I12" t="str">
        <f t="shared" si="2"/>
        <v>BC CB 97 0E 75 65 0C 08 08 0F 01 82 01 49 00 14 E6 BF 51 52</v>
      </c>
    </row>
    <row r="13" spans="1:9">
      <c r="A13" t="s">
        <v>48</v>
      </c>
      <c r="B13" s="3" t="s">
        <v>4</v>
      </c>
      <c r="C13" s="3" t="s">
        <v>45</v>
      </c>
      <c r="G13" s="5" t="str">
        <f t="shared" si="0"/>
        <v>0B</v>
      </c>
      <c r="H13" s="3" t="s">
        <v>49</v>
      </c>
      <c r="I13" t="str">
        <f t="shared" si="2"/>
        <v>BC CB 97 0B 75 65 0C 05 05 11 01 82 01 85 1C 51 52</v>
      </c>
    </row>
    <row r="14" spans="1:9">
      <c r="A14" t="s">
        <v>56</v>
      </c>
      <c r="B14" s="3" t="s">
        <v>6</v>
      </c>
      <c r="C14" s="3" t="s">
        <v>47</v>
      </c>
      <c r="G14" s="5" t="str">
        <f>DEC2HEX(LEN(SUBSTITUTE(H14," ",""))/2,2)</f>
        <v>08</v>
      </c>
      <c r="H14" s="3" t="s">
        <v>46</v>
      </c>
      <c r="I14" t="str">
        <f>"BC"&amp;" CB"&amp;" 97 "&amp;G14&amp;" "&amp;H14&amp;" 51"&amp;" 52"</f>
        <v>BC CB 97 08 75 65 01 02 02 06 E5 CB 51 52</v>
      </c>
    </row>
    <row r="15" spans="1:9">
      <c r="A15" t="s">
        <v>55</v>
      </c>
      <c r="B15" s="3" t="s">
        <v>6</v>
      </c>
      <c r="C15" s="3" t="s">
        <v>9</v>
      </c>
      <c r="G15" s="5" t="str">
        <f t="shared" si="0"/>
        <v>08</v>
      </c>
      <c r="H15" s="3" t="s">
        <v>42</v>
      </c>
      <c r="I15" t="str">
        <f t="shared" si="2"/>
        <v>BC CB 97 08 75 65 01 02 02 02 E1 C7 51 52</v>
      </c>
    </row>
    <row r="16" spans="1:9">
      <c r="A16" t="s">
        <v>50</v>
      </c>
      <c r="B16" s="3" t="s">
        <v>4</v>
      </c>
      <c r="C16" s="3" t="s">
        <v>51</v>
      </c>
      <c r="G16" s="3" t="str">
        <f t="shared" si="0"/>
        <v>09</v>
      </c>
      <c r="H16" s="3" t="s">
        <v>52</v>
      </c>
      <c r="I16" s="2" t="str">
        <f t="shared" si="2"/>
        <v>BC CB 97 09 75 65 0C 03 03 30 03 1F 45 51 52</v>
      </c>
    </row>
    <row r="18" spans="1:3">
      <c r="A18" t="s">
        <v>57</v>
      </c>
      <c r="B18" s="3" t="s">
        <v>34</v>
      </c>
      <c r="C18" s="3" t="s">
        <v>39</v>
      </c>
    </row>
    <row r="19" spans="1:3">
      <c r="A19" t="s">
        <v>58</v>
      </c>
      <c r="B19" s="3" t="s">
        <v>59</v>
      </c>
      <c r="C19" s="3" t="s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BF49-F390-406F-851F-10DF9CE956A6}">
  <dimension ref="A1:A8"/>
  <sheetViews>
    <sheetView workbookViewId="0">
      <selection activeCell="A16" sqref="A16"/>
    </sheetView>
  </sheetViews>
  <sheetFormatPr defaultRowHeight="19.8"/>
  <cols>
    <col min="1" max="1" width="34.125" style="4" bestFit="1" customWidth="1"/>
  </cols>
  <sheetData>
    <row r="1" spans="1:1">
      <c r="A1" s="4" t="s">
        <v>11</v>
      </c>
    </row>
    <row r="2" spans="1:1">
      <c r="A2" s="4" t="s">
        <v>12</v>
      </c>
    </row>
    <row r="3" spans="1:1">
      <c r="A3" s="4" t="s">
        <v>13</v>
      </c>
    </row>
    <row r="4" spans="1:1">
      <c r="A4" s="4" t="s">
        <v>14</v>
      </c>
    </row>
    <row r="5" spans="1:1">
      <c r="A5" s="4" t="s">
        <v>15</v>
      </c>
    </row>
    <row r="6" spans="1:1">
      <c r="A6" s="4" t="s">
        <v>16</v>
      </c>
    </row>
    <row r="7" spans="1:1">
      <c r="A7" s="4" t="s">
        <v>17</v>
      </c>
    </row>
    <row r="8" spans="1:1">
      <c r="A8" s="4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MIP</vt:lpstr>
      <vt:lpstr>PC 回傳值意義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Shiau</cp:lastModifiedBy>
  <dcterms:created xsi:type="dcterms:W3CDTF">2015-06-05T18:19:34Z</dcterms:created>
  <dcterms:modified xsi:type="dcterms:W3CDTF">2026-01-08T09:39:11Z</dcterms:modified>
</cp:coreProperties>
</file>