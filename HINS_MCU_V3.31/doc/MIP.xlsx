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3\doc\"/>
    </mc:Choice>
  </mc:AlternateContent>
  <xr:revisionPtr revIDLastSave="0" documentId="13_ncr:1_{0418452A-F33F-4DA8-935E-76579F5ED7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I53" i="1" s="1"/>
  <c r="I52" i="1"/>
  <c r="G52" i="1"/>
  <c r="G51" i="1" l="1"/>
  <c r="I51" i="1" s="1"/>
  <c r="G33" i="1"/>
  <c r="I33" i="1" s="1"/>
  <c r="G8" i="1"/>
  <c r="I8" i="1" s="1"/>
  <c r="G50" i="1"/>
  <c r="I50" i="1" s="1"/>
  <c r="G38" i="1"/>
  <c r="I38" i="1" s="1"/>
  <c r="G49" i="1"/>
  <c r="I49" i="1" s="1"/>
  <c r="G48" i="1"/>
  <c r="I48" i="1" s="1"/>
  <c r="G40" i="1"/>
  <c r="I40" i="1" s="1"/>
  <c r="G32" i="1"/>
  <c r="I32" i="1" s="1"/>
  <c r="G31" i="1"/>
  <c r="I31" i="1" s="1"/>
  <c r="G30" i="1"/>
  <c r="I30" i="1" s="1"/>
  <c r="G29" i="1"/>
  <c r="I29" i="1" s="1"/>
  <c r="G47" i="1"/>
  <c r="I47" i="1" s="1"/>
  <c r="G46" i="1"/>
  <c r="I46" i="1" s="1"/>
  <c r="G35" i="1"/>
  <c r="I35" i="1" s="1"/>
  <c r="G34" i="1"/>
  <c r="I34" i="1" s="1"/>
  <c r="G39" i="1"/>
  <c r="I39" i="1" s="1"/>
  <c r="G26" i="1"/>
  <c r="I26" i="1" s="1"/>
  <c r="G25" i="1"/>
  <c r="I25" i="1" s="1"/>
  <c r="G24" i="1"/>
  <c r="I24" i="1" s="1"/>
  <c r="G27" i="1"/>
  <c r="I27" i="1" s="1"/>
  <c r="G2" i="1"/>
  <c r="I2" i="1" s="1"/>
  <c r="G23" i="1" l="1"/>
  <c r="I23" i="1" s="1"/>
  <c r="G22" i="1"/>
  <c r="I22" i="1" s="1"/>
  <c r="G5" i="1" l="1"/>
  <c r="I5" i="1" s="1"/>
  <c r="G6" i="1"/>
  <c r="I6" i="1" s="1"/>
  <c r="G14" i="1"/>
  <c r="I14" i="1" s="1"/>
  <c r="G18" i="1" l="1"/>
  <c r="I18" i="1" s="1"/>
  <c r="G15" i="1"/>
  <c r="I15" i="1" s="1"/>
  <c r="G16" i="1"/>
  <c r="I16" i="1" s="1"/>
  <c r="G4" i="1"/>
  <c r="I4" i="1" s="1"/>
  <c r="G7" i="1"/>
  <c r="I7" i="1" s="1"/>
  <c r="G9" i="1"/>
  <c r="I9" i="1" s="1"/>
  <c r="G10" i="1"/>
  <c r="I10" i="1" s="1"/>
  <c r="G11" i="1"/>
  <c r="I11" i="1" s="1"/>
  <c r="G12" i="1"/>
  <c r="I12" i="1" s="1"/>
  <c r="G13" i="1"/>
  <c r="I13" i="1" s="1"/>
  <c r="G17" i="1"/>
  <c r="I17" i="1" s="1"/>
  <c r="G3" i="1"/>
  <c r="I3" i="1" s="1"/>
</calcChain>
</file>

<file path=xl/sharedStrings.xml><?xml version="1.0" encoding="utf-8"?>
<sst xmlns="http://schemas.openxmlformats.org/spreadsheetml/2006/main" count="228" uniqueCount="134">
  <si>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</si>
  <si>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</si>
  <si>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</si>
  <si>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</si>
  <si>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</si>
  <si>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</si>
  <si>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</si>
  <si>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</si>
  <si>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</si>
  <si>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</si>
  <si>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</si>
  <si>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</si>
  <si>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</si>
  <si>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</si>
  <si>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</si>
  <si>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</si>
  <si>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</si>
  <si>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</si>
  <si>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</si>
  <si>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</si>
  <si>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</si>
  <si>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</si>
  <si>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</si>
  <si>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</si>
  <si>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</si>
  <si>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</si>
  <si>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</si>
  <si>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</si>
  <si>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</si>
  <si>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</si>
  <si>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</si>
  <si>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</si>
  <si>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</si>
  <si>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</si>
  <si>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</si>
  <si>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</si>
  <si>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</si>
  <si>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</si>
  <si>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</si>
  <si>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</si>
  <si>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</si>
  <si>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</si>
  <si>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</si>
  <si>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</si>
  <si>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</si>
  <si>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</si>
  <si>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</si>
  <si>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</si>
  <si>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</si>
  <si>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</si>
  <si>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</si>
  <si>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</si>
  <si>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</si>
  <si>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</si>
  <si>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</si>
  <si>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</si>
  <si>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</si>
  <si>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</si>
  <si>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</si>
  <si>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</si>
  <si>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</si>
  <si>
    <t>設定 GPIO1 為 UART2 Tx</t>
    <phoneticPr fontId="1" type="noConversion"/>
  </si>
  <si>
    <t>75 65 0C 07 07 41 01 01 05 21 00 5D AE</t>
    <phoneticPr fontId="1" type="noConversion"/>
  </si>
  <si>
    <t>設定 GPIO2 為 UART2 Rx</t>
    <phoneticPr fontId="1" type="noConversion"/>
  </si>
  <si>
    <t>75 65 0C 07 07 41 01 02 05 22 02 61 B6</t>
    <phoneticPr fontId="1" type="noConversion"/>
  </si>
  <si>
    <t>0D</t>
    <phoneticPr fontId="1" type="noConversion"/>
  </si>
  <si>
    <t>75 65 0C 06 06 0D 82 00 01 46 C8 5E</t>
    <phoneticPr fontId="1" type="noConversion"/>
  </si>
  <si>
    <t>75 65 0D 06 06 50 01 00 05 01 4A 74</t>
    <phoneticPr fontId="1" type="noConversion"/>
  </si>
  <si>
    <t>50</t>
    <phoneticPr fontId="1" type="noConversion"/>
  </si>
  <si>
    <t>D0</t>
    <phoneticPr fontId="1" type="noConversion"/>
  </si>
  <si>
    <t>75 65 0D 05 05 50 02 00 05 48 22</t>
    <phoneticPr fontId="1" type="noConversion"/>
  </si>
  <si>
    <t>PING</t>
    <phoneticPr fontId="1" type="noConversion"/>
  </si>
  <si>
    <t>75 65 01 02 02 01 E0 C6</t>
    <phoneticPr fontId="1" type="noConversion"/>
  </si>
  <si>
    <t>28</t>
    <phoneticPr fontId="1" type="noConversion"/>
  </si>
  <si>
    <t>A8</t>
    <phoneticPr fontId="1" type="noConversion"/>
  </si>
  <si>
    <t>讀 PPS Source 配置</t>
    <phoneticPr fontId="1" type="noConversion"/>
  </si>
  <si>
    <t>75 65 0C 03 03 28 02 16 34</t>
    <phoneticPr fontId="1" type="noConversion"/>
  </si>
  <si>
    <t>PPS Source 配置 GNSS 2</t>
    <phoneticPr fontId="1" type="noConversion"/>
  </si>
  <si>
    <t>75 65 0C 04 04 28 01 02 19 53</t>
    <phoneticPr fontId="1" type="noConversion"/>
  </si>
  <si>
    <t>PPS Source 配置 GNSS 1</t>
    <phoneticPr fontId="1" type="noConversion"/>
  </si>
  <si>
    <t>PPS Source 配置 crystal</t>
    <phoneticPr fontId="1" type="noConversion"/>
  </si>
  <si>
    <t>75 65 0C 04 04 28 01 01 18 52</t>
    <phoneticPr fontId="1" type="noConversion"/>
  </si>
  <si>
    <t>75 65 0C 04 04 28 01 04 1B 55</t>
    <phoneticPr fontId="1" type="noConversion"/>
  </si>
  <si>
    <t>讀 PPS 同步狀態</t>
    <phoneticPr fontId="1" type="noConversion"/>
  </si>
  <si>
    <t>75 65 0C 06 06 0D A0 00 01 02 A2 92</t>
    <phoneticPr fontId="1" type="noConversion"/>
  </si>
  <si>
    <t>讀取 GNSS Dual Antenna Status (0x82, 0x49) 資料</t>
    <phoneticPr fontId="1" type="noConversion"/>
  </si>
  <si>
    <t xml:space="preserve">設定 10 Hz 吐出 GPS Timestamp (0xFF,0xD3) 與 GNSS Dual Antenna Status (0x82,0x49) </t>
    <phoneticPr fontId="1" type="noConversion"/>
  </si>
  <si>
    <t>75 65 0C 0B 0B 0F 01 82 02 D3 00 64 49 00 64 74 78</t>
    <phoneticPr fontId="1" type="noConversion"/>
  </si>
  <si>
    <t xml:space="preserve">設定 10 Hz 吐出 GNSS Dual Antenna Status (0x82,0x49) </t>
    <phoneticPr fontId="1" type="noConversion"/>
  </si>
  <si>
    <t>Data Stream Control_ON</t>
    <phoneticPr fontId="1" type="noConversion"/>
  </si>
  <si>
    <t>Data Stream Control_OFF</t>
    <phoneticPr fontId="1" type="noConversion"/>
  </si>
  <si>
    <t>85</t>
    <phoneticPr fontId="1" type="noConversion"/>
  </si>
  <si>
    <t>75 65 0C 05 05 11 01 82 00 84 1B</t>
    <phoneticPr fontId="1" type="noConversion"/>
  </si>
  <si>
    <t>設定 Sensor-to-Vehicle Frame Transformation</t>
    <phoneticPr fontId="1" type="noConversion"/>
  </si>
  <si>
    <t>讀取 Sensor-to-Vehicle Frame Transformation</t>
    <phoneticPr fontId="1" type="noConversion"/>
  </si>
  <si>
    <t>33</t>
    <phoneticPr fontId="1" type="noConversion"/>
  </si>
  <si>
    <t>B3</t>
    <phoneticPr fontId="1" type="noConversion"/>
  </si>
  <si>
    <t>75 65 0C 03 03 33 02 21 4A</t>
    <phoneticPr fontId="1" type="noConversion"/>
  </si>
  <si>
    <t>讀取天線1 的 offset 配置</t>
    <phoneticPr fontId="1" type="noConversion"/>
  </si>
  <si>
    <t>54</t>
    <phoneticPr fontId="1" type="noConversion"/>
  </si>
  <si>
    <t>D4</t>
    <phoneticPr fontId="1" type="noConversion"/>
  </si>
  <si>
    <t>讀取天線2 的 offset 配置</t>
    <phoneticPr fontId="1" type="noConversion"/>
  </si>
  <si>
    <t>75 65 0D 04 04 54 02 01 46 DE</t>
    <phoneticPr fontId="1" type="noConversion"/>
  </si>
  <si>
    <t>75 65 0D 04 04 54 02 02 47 DF</t>
    <phoneticPr fontId="1" type="noConversion"/>
  </si>
  <si>
    <t>讀取 Frame id=1 Configuration</t>
    <phoneticPr fontId="1" type="noConversion"/>
  </si>
  <si>
    <t>81</t>
    <phoneticPr fontId="1" type="noConversion"/>
  </si>
  <si>
    <t>75 65 13 05 05 01 02 01 01 FC 0E</t>
    <phoneticPr fontId="1" type="noConversion"/>
  </si>
  <si>
    <t>Enable Aiding measurement EXTERNAL_HEADING</t>
    <phoneticPr fontId="1" type="noConversion"/>
  </si>
  <si>
    <t>讀取 Aiding measurement EXTERNAL_HEADING 是否 enable</t>
    <phoneticPr fontId="1" type="noConversion"/>
  </si>
  <si>
    <t>75 65 0C 0E 0E 0F 01 82 03 D3 00 64 49 00 64 46 00 64 25 6B</t>
    <phoneticPr fontId="1" type="noConversion"/>
  </si>
  <si>
    <t>設定 10 Hz 吐出 GPS Timestamp (0xFF,0xD3)，GNSS Dual Antenna Status (0x82,0x49)與Aiding Measurement Summary (0x82, 0x46)</t>
    <phoneticPr fontId="1" type="noConversion"/>
  </si>
  <si>
    <t>75 65 0C 08 08 0F 01 82 01 46 00 64 33 06</t>
    <phoneticPr fontId="1" type="noConversion"/>
  </si>
  <si>
    <t>設定 10 Hz 吐出 Aiding Measurement Summary (0x82, 0x46)</t>
    <phoneticPr fontId="1" type="noConversion"/>
  </si>
  <si>
    <t>Status (0x82,0x10)</t>
    <phoneticPr fontId="1" type="noConversion"/>
  </si>
  <si>
    <t>使用 Poll Data (0x0C, 0x0D) 讀取</t>
    <phoneticPr fontId="1" type="noConversion"/>
  </si>
  <si>
    <t>使用 Message Format (0x0C, 0x0F) 讀取</t>
    <phoneticPr fontId="1" type="noConversion"/>
  </si>
  <si>
    <t>75 65 0C 06 06 0D 82 00 01 10 92 28</t>
    <phoneticPr fontId="1" type="noConversion"/>
  </si>
  <si>
    <t>設定 10 Hz 吐出 GPS Timestamp (0xFF,0xD3)，GNSS Dual Antenna Status (0x82,0x49)與Status (0x82,0x10)</t>
    <phoneticPr fontId="1" type="noConversion"/>
  </si>
  <si>
    <t>75 65 0C 0E 0E 0F 01 82 03 D3 00 64 49 00 64 10 00 64 EF C9</t>
    <phoneticPr fontId="1" type="noConversion"/>
  </si>
  <si>
    <t>設定 UART1 br 230400</t>
    <phoneticPr fontId="1" type="noConversion"/>
  </si>
  <si>
    <t>40</t>
    <phoneticPr fontId="1" type="noConversion"/>
  </si>
  <si>
    <t>87</t>
    <phoneticPr fontId="1" type="noConversion"/>
  </si>
  <si>
    <t>75 65 0C 07 07 40 01 00 03 84 00 BC 64</t>
    <phoneticPr fontId="1" type="noConversion"/>
  </si>
  <si>
    <t>讀 Aiding Measurement Summary(0x82, 0x46)</t>
    <phoneticPr fontId="1" type="noConversion"/>
  </si>
  <si>
    <t>讀取 Navigation Filter Initialization (0x82, 0x52) 資料</t>
    <phoneticPr fontId="1" type="noConversion"/>
  </si>
  <si>
    <t>52</t>
    <phoneticPr fontId="1" type="noConversion"/>
  </si>
  <si>
    <t>D2</t>
    <phoneticPr fontId="1" type="noConversion"/>
  </si>
  <si>
    <t>75 65 0D 03 03 52 02 41 8D</t>
    <phoneticPr fontId="1" type="noConversion"/>
  </si>
  <si>
    <t>設定 10 Hz 吐出 GPS Timestamp (0xFF,0xD3)，GNSS Dual Antenna Status (0x82,0x49)，Status (0x82,0x10)與Aiding Measurement Summary (0x82, 0x46)</t>
    <phoneticPr fontId="1" type="noConversion"/>
  </si>
  <si>
    <r>
      <t xml:space="preserve">75 65 0C 11 11 0F 01 82 04 </t>
    </r>
    <r>
      <rPr>
        <sz val="11"/>
        <color rgb="FFFF0000"/>
        <rFont val="新細明體"/>
        <family val="1"/>
        <charset val="136"/>
        <scheme val="minor"/>
      </rPr>
      <t>D3 00 64</t>
    </r>
    <r>
      <rPr>
        <sz val="11"/>
        <color rgb="FF0070C0"/>
        <rFont val="新細明體"/>
        <family val="1"/>
        <charset val="136"/>
        <scheme val="minor"/>
      </rPr>
      <t xml:space="preserve"> 49 00 64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9" tint="-0.249977111117893"/>
        <rFont val="新細明體"/>
        <family val="1"/>
        <charset val="136"/>
        <scheme val="minor"/>
      </rPr>
      <t>10 00 64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7" tint="-0.499984740745262"/>
        <rFont val="新細明體"/>
        <family val="1"/>
        <charset val="136"/>
        <scheme val="minor"/>
      </rPr>
      <t>46 00 64</t>
    </r>
    <r>
      <rPr>
        <sz val="11"/>
        <color theme="1"/>
        <rFont val="新細明體"/>
        <family val="2"/>
        <scheme val="minor"/>
      </rPr>
      <t xml:space="preserve"> A0 42</t>
    </r>
    <phoneticPr fontId="1" type="noConversion"/>
  </si>
  <si>
    <t>設定 1 Hz 吐出 GPS Timestamp (0xFF,0xD3)，GNSS Dual Antenna Status (0x82,0x49)，Status (0x82,0x10)與Aiding Measurement Summary (0x82, 0x46)</t>
    <phoneticPr fontId="1" type="noConversion"/>
  </si>
  <si>
    <t>75 65 0C 11 11 0F 01 82 04 D3 03 E8 49 03 E8 10 03 E8 46 03 E8 BC E8</t>
    <phoneticPr fontId="1" type="noConversion"/>
  </si>
  <si>
    <t>設定 5 Hz 吐出 GPS Timestamp (0xFF,0xD3)，GNSS Dual Antenna Status (0x82,0x49)，Status (0x82,0x10)與Aiding Measurement Summary (0x82, 0x46)</t>
    <phoneticPr fontId="1" type="noConversion"/>
  </si>
  <si>
    <t>75 65 0C 11 11 0F 01 82 04 D3 00 C8 49 00 C8 10 00 C8 46 00 C8 30 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</si>
</sst>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rgb="FFFF0000"/>
      <name val="新細明體"/>
      <family val="1"/>
      <charset val="136"/>
      <scheme val="minor"/>
    </font>
    <font>
      <sz val="11"/>
      <color theme="7" tint="-0.499984740745262"/>
      <name val="新細明體"/>
      <family val="1"/>
      <charset val="136"/>
      <scheme val="minor"/>
    </font>
    <font>
      <sz val="11"/>
      <color rgb="FF0070C0"/>
      <name val="新細明體"/>
      <family val="1"/>
      <charset val="136"/>
      <scheme val="minor"/>
    </font>
    <font>
      <sz val="11"/>
      <color theme="9" tint="-0.249977111117893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workbookViewId="0">
      <pane ySplit="1" topLeftCell="A48" activePane="bottomLeft" state="frozen"/>
      <selection pane="bottomLeft" activeCell="C56" sqref="C56"/>
    </sheetView>
  </sheetViews>
  <sheetFormatPr defaultRowHeight="15" x14ac:dyDescent="0.3"/>
  <cols>
    <col min="1" max="1" width="47.625" style="9" bestFit="1" customWidth="1"/>
    <col min="2" max="2" width="13.75" style="2" bestFit="1" customWidth="1"/>
    <col min="3" max="3" width="21" style="2" bestFit="1" customWidth="1"/>
    <col min="4" max="4" width="20.375" style="2" bestFit="1" customWidth="1"/>
    <col min="5" max="5" width="17.375" style="2" bestFit="1" customWidth="1"/>
    <col min="6" max="6" width="16" style="1" hidden="1" customWidth="1"/>
    <col min="7" max="7" width="11.25" style="2" bestFit="1" customWidth="1"/>
    <col min="8" max="8" width="75.5" style="2" bestFit="1" customWidth="1"/>
    <col min="9" max="9" width="86.25" style="1" bestFit="1" customWidth="1"/>
    <col min="10" max="10" width="13.75" style="1" bestFit="1" customWidth="1"/>
    <col min="11" max="11" width="14.125" style="1" bestFit="1" customWidth="1"/>
    <col min="12" max="22" width="9.125" style="1"/>
  </cols>
  <sheetData>
    <row r="1" spans="1:9" x14ac:dyDescent="0.3">
      <c r="A1" s="9" t="s">
        <v>0</v>
      </c>
      <c r="B1" s="2" t="s">
        <v>2</v>
      </c>
      <c r="C1" s="2" t="s">
        <v>3</v>
      </c>
      <c r="D1" s="2" t="s">
        <v>22</v>
      </c>
      <c r="E1" s="2" t="s">
        <v>5</v>
      </c>
      <c r="F1" s="2" t="s">
        <v>7</v>
      </c>
      <c r="G1" s="2" t="s">
        <v>38</v>
      </c>
      <c r="H1" s="2" t="s">
        <v>8</v>
      </c>
      <c r="I1" s="2" t="s">
        <v>20</v>
      </c>
    </row>
    <row r="2" spans="1:9" x14ac:dyDescent="0.3">
      <c r="A2" s="9" t="s">
        <v>71</v>
      </c>
      <c r="B2" s="2" t="s">
        <v>6</v>
      </c>
      <c r="C2" s="2" t="s">
        <v>6</v>
      </c>
      <c r="F2" s="2"/>
      <c r="G2" s="4" t="str">
        <f>DEC2HEX(LEN(SUBSTITUTE(H2," ",""))/2,2)</f>
        <v>08</v>
      </c>
      <c r="H2" s="2" t="s">
        <v>72</v>
      </c>
      <c r="I2" t="str">
        <f>"BC"&amp;" CB"&amp;" 97 "&amp;G2&amp;" "&amp;H2&amp;" 51"&amp;" 52"</f>
        <v>BC CB 97 08 75 65 01 02 02 01 E0 C6 51 52</v>
      </c>
    </row>
    <row r="3" spans="1:9" x14ac:dyDescent="0.3">
      <c r="A3" s="9" t="s">
        <v>1</v>
      </c>
      <c r="B3" s="2" t="s">
        <v>4</v>
      </c>
      <c r="C3" s="2">
        <v>41</v>
      </c>
      <c r="D3" s="2" t="s">
        <v>23</v>
      </c>
      <c r="E3" s="2" t="s">
        <v>9</v>
      </c>
      <c r="F3" s="2" t="s">
        <v>6</v>
      </c>
      <c r="G3" s="4" t="str">
        <f>DEC2HEX(LEN(SUBSTITUTE(H3," ",""))/2,2)</f>
        <v>0A</v>
      </c>
      <c r="H3" s="2" t="s">
        <v>21</v>
      </c>
      <c r="I3" t="str">
        <f>"BC"&amp;" CB"&amp;" 97 "&amp;G3&amp;" "&amp;H3&amp;" 51"&amp;" 52"</f>
        <v>BC CB 97 0A 75 65 0C 04 04 41 02 01 32 9F 51 52</v>
      </c>
    </row>
    <row r="4" spans="1:9" x14ac:dyDescent="0.3">
      <c r="A4" s="9" t="s">
        <v>26</v>
      </c>
      <c r="B4" s="2" t="s">
        <v>4</v>
      </c>
      <c r="C4" s="2">
        <v>41</v>
      </c>
      <c r="D4" s="2" t="s">
        <v>23</v>
      </c>
      <c r="F4" s="2"/>
      <c r="G4" s="4" t="str">
        <f t="shared" ref="G4:G18" si="0">DEC2HEX(LEN(SUBSTITUTE(H4," ",""))/2,2)</f>
        <v>0A</v>
      </c>
      <c r="H4" s="2" t="s">
        <v>27</v>
      </c>
      <c r="I4" t="str">
        <f>"BC"&amp;" CB"&amp;" 97 "&amp;G4&amp;" "&amp;H4&amp;" 51"&amp;" 52"</f>
        <v>BC CB 97 0A 75 65 0C 04 04 41 02 02 33 A0 51 52</v>
      </c>
    </row>
    <row r="5" spans="1:9" x14ac:dyDescent="0.3">
      <c r="A5" s="9" t="s">
        <v>61</v>
      </c>
      <c r="B5" s="2" t="s">
        <v>4</v>
      </c>
      <c r="C5" s="2">
        <v>41</v>
      </c>
      <c r="D5" s="2" t="s">
        <v>23</v>
      </c>
      <c r="F5" s="2"/>
      <c r="G5" s="4" t="str">
        <f t="shared" si="0"/>
        <v>0D</v>
      </c>
      <c r="H5" s="2" t="s">
        <v>62</v>
      </c>
      <c r="I5" t="str">
        <f t="shared" ref="I5:I6" si="1">"BC"&amp;" CB"&amp;" 97 "&amp;G5&amp;" "&amp;H5&amp;" 51"&amp;" 52"</f>
        <v>BC CB 97 0D 75 65 0C 07 07 41 01 01 05 21 00 5D AE 51 52</v>
      </c>
    </row>
    <row r="6" spans="1:9" x14ac:dyDescent="0.3">
      <c r="A6" s="9" t="s">
        <v>63</v>
      </c>
      <c r="B6" s="2" t="s">
        <v>4</v>
      </c>
      <c r="C6" s="2">
        <v>41</v>
      </c>
      <c r="D6" s="2" t="s">
        <v>23</v>
      </c>
      <c r="F6" s="2"/>
      <c r="G6" s="4" t="str">
        <f t="shared" si="0"/>
        <v>0D</v>
      </c>
      <c r="H6" s="2" t="s">
        <v>64</v>
      </c>
      <c r="I6" t="str">
        <f t="shared" si="1"/>
        <v>BC CB 97 0D 75 65 0C 07 07 41 01 02 05 22 02 61 B6 51 52</v>
      </c>
    </row>
    <row r="7" spans="1:9" x14ac:dyDescent="0.3">
      <c r="A7" s="9" t="s">
        <v>10</v>
      </c>
      <c r="B7" s="2" t="s">
        <v>6</v>
      </c>
      <c r="C7" s="2" t="s">
        <v>24</v>
      </c>
      <c r="D7" s="2" t="s">
        <v>25</v>
      </c>
      <c r="E7" s="2" t="s">
        <v>6</v>
      </c>
      <c r="G7" s="4" t="str">
        <f t="shared" si="0"/>
        <v>0A</v>
      </c>
      <c r="H7" s="2" t="s">
        <v>19</v>
      </c>
      <c r="I7" t="str">
        <f>"BC"&amp;" CB"&amp;" 97 "&amp;G7&amp;" "&amp;H7&amp;" 51"&amp;" 52"</f>
        <v>BC CB 97 0A 75 65 01 04 04 09 02 12 00 C6 51 52</v>
      </c>
    </row>
    <row r="8" spans="1:9" x14ac:dyDescent="0.3">
      <c r="A8" s="9" t="s">
        <v>119</v>
      </c>
      <c r="B8" s="2" t="s">
        <v>4</v>
      </c>
      <c r="C8" s="2" t="s">
        <v>120</v>
      </c>
      <c r="D8" s="2" t="s">
        <v>121</v>
      </c>
      <c r="G8" s="4" t="str">
        <f t="shared" si="0"/>
        <v>0D</v>
      </c>
      <c r="H8" s="2" t="s">
        <v>122</v>
      </c>
      <c r="I8" t="str">
        <f>"BC"&amp;" CB"&amp;" 97 "&amp;G8&amp;" "&amp;H8&amp;" 51"&amp;" 52"</f>
        <v>BC CB 97 0D 75 65 0C 07 07 40 01 00 03 84 00 BC 64 51 52</v>
      </c>
    </row>
    <row r="9" spans="1:9" x14ac:dyDescent="0.3">
      <c r="A9" s="9" t="s">
        <v>29</v>
      </c>
      <c r="B9" s="2" t="s">
        <v>6</v>
      </c>
      <c r="C9" s="2" t="s">
        <v>24</v>
      </c>
      <c r="D9" s="2" t="s">
        <v>25</v>
      </c>
      <c r="G9" s="4" t="str">
        <f t="shared" si="0"/>
        <v>0E</v>
      </c>
      <c r="H9" s="2" t="s">
        <v>28</v>
      </c>
      <c r="I9" t="str">
        <f t="shared" ref="I9:I18" si="2">"BC"&amp;" CB"&amp;" 97 "&amp;G9&amp;" "&amp;H9&amp;" 51"&amp;" 52"</f>
        <v>BC CB 97 0E 75 65 01 08 08 09 01 12 00 03 84 00 8E 15 51 52</v>
      </c>
    </row>
    <row r="10" spans="1:9" x14ac:dyDescent="0.3">
      <c r="A10" s="9" t="s">
        <v>30</v>
      </c>
      <c r="B10" s="2" t="s">
        <v>6</v>
      </c>
      <c r="C10" s="2" t="s">
        <v>24</v>
      </c>
      <c r="D10" s="2" t="s">
        <v>25</v>
      </c>
      <c r="G10" s="4" t="str">
        <f t="shared" si="0"/>
        <v>0E</v>
      </c>
      <c r="H10" s="2" t="s">
        <v>31</v>
      </c>
      <c r="I10" t="str">
        <f t="shared" si="2"/>
        <v>BC CB 97 0E 75 65 01 08 08 09 01 12 00 01 C2 00 CA 8B 51 52</v>
      </c>
    </row>
    <row r="11" spans="1:9" x14ac:dyDescent="0.3">
      <c r="A11" s="9" t="s">
        <v>32</v>
      </c>
      <c r="B11" s="2" t="s">
        <v>33</v>
      </c>
      <c r="C11" s="2" t="s">
        <v>9</v>
      </c>
      <c r="D11" s="2" t="s">
        <v>34</v>
      </c>
      <c r="G11" s="4" t="str">
        <f t="shared" si="0"/>
        <v>0A</v>
      </c>
      <c r="H11" s="2" t="s">
        <v>35</v>
      </c>
      <c r="I11" t="str">
        <f t="shared" si="2"/>
        <v>BC CB 97 0A 75 65 7F 04 04 02 02 12 77 A5 51 52</v>
      </c>
    </row>
    <row r="12" spans="1:9" x14ac:dyDescent="0.3">
      <c r="A12" s="9" t="s">
        <v>36</v>
      </c>
      <c r="B12" s="2" t="s">
        <v>33</v>
      </c>
      <c r="C12" s="2" t="s">
        <v>9</v>
      </c>
      <c r="D12" s="2" t="s">
        <v>34</v>
      </c>
      <c r="G12" s="4" t="str">
        <f t="shared" si="0"/>
        <v>12</v>
      </c>
      <c r="H12" s="2" t="s">
        <v>37</v>
      </c>
      <c r="I12" t="str">
        <f t="shared" si="2"/>
        <v>BC CB 97 12 75 65 7F 0C 0C 02 01 12 00 00 00 01 00 00 00 01 88 21 51 52</v>
      </c>
    </row>
    <row r="13" spans="1:9" ht="28.8" x14ac:dyDescent="0.3">
      <c r="A13" s="9" t="s">
        <v>44</v>
      </c>
      <c r="B13" s="2" t="s">
        <v>4</v>
      </c>
      <c r="C13" s="2" t="s">
        <v>40</v>
      </c>
      <c r="D13" s="2" t="s">
        <v>41</v>
      </c>
      <c r="E13" s="2" t="s">
        <v>6</v>
      </c>
      <c r="G13" s="4" t="str">
        <f t="shared" si="0"/>
        <v>0E</v>
      </c>
      <c r="H13" s="2" t="s">
        <v>43</v>
      </c>
      <c r="I13" t="str">
        <f t="shared" si="2"/>
        <v>BC CB 97 0E 75 65 0C 08 08 0F 01 82 01 49 00 64 36 0F 51 52</v>
      </c>
    </row>
    <row r="14" spans="1:9" ht="28.8" x14ac:dyDescent="0.3">
      <c r="A14" s="9" t="s">
        <v>53</v>
      </c>
      <c r="B14" s="2" t="s">
        <v>4</v>
      </c>
      <c r="C14" s="2" t="s">
        <v>40</v>
      </c>
      <c r="D14" s="2" t="s">
        <v>41</v>
      </c>
      <c r="E14" s="2" t="s">
        <v>6</v>
      </c>
      <c r="G14" s="4" t="str">
        <f t="shared" si="0"/>
        <v>0E</v>
      </c>
      <c r="H14" s="2" t="s">
        <v>54</v>
      </c>
      <c r="I14" t="str">
        <f t="shared" si="2"/>
        <v>BC CB 97 0E 75 65 0C 08 08 0F 01 82 01 49 00 14 E6 BF 51 52</v>
      </c>
    </row>
    <row r="15" spans="1:9" x14ac:dyDescent="0.3">
      <c r="A15" s="9" t="s">
        <v>48</v>
      </c>
      <c r="B15" s="2" t="s">
        <v>4</v>
      </c>
      <c r="C15" s="2" t="s">
        <v>45</v>
      </c>
      <c r="G15" s="4" t="str">
        <f t="shared" si="0"/>
        <v>0B</v>
      </c>
      <c r="H15" s="2" t="s">
        <v>49</v>
      </c>
      <c r="I15" t="str">
        <f t="shared" si="2"/>
        <v>BC CB 97 0B 75 65 0C 05 05 11 01 82 01 85 1C 51 52</v>
      </c>
    </row>
    <row r="16" spans="1:9" x14ac:dyDescent="0.3">
      <c r="A16" s="9" t="s">
        <v>56</v>
      </c>
      <c r="B16" s="2" t="s">
        <v>6</v>
      </c>
      <c r="C16" s="2" t="s">
        <v>47</v>
      </c>
      <c r="G16" s="4" t="str">
        <f>DEC2HEX(LEN(SUBSTITUTE(H16," ",""))/2,2)</f>
        <v>08</v>
      </c>
      <c r="H16" s="2" t="s">
        <v>46</v>
      </c>
      <c r="I16" t="str">
        <f>"BC"&amp;" CB"&amp;" 97 "&amp;G16&amp;" "&amp;H16&amp;" 51"&amp;" 52"</f>
        <v>BC CB 97 08 75 65 01 02 02 06 E5 CB 51 52</v>
      </c>
    </row>
    <row r="17" spans="1:9" x14ac:dyDescent="0.3">
      <c r="A17" s="9" t="s">
        <v>55</v>
      </c>
      <c r="B17" s="2" t="s">
        <v>6</v>
      </c>
      <c r="C17" s="2" t="s">
        <v>9</v>
      </c>
      <c r="G17" s="4" t="str">
        <f t="shared" si="0"/>
        <v>08</v>
      </c>
      <c r="H17" s="2" t="s">
        <v>42</v>
      </c>
      <c r="I17" t="str">
        <f t="shared" si="2"/>
        <v>BC CB 97 08 75 65 01 02 02 02 E1 C7 51 52</v>
      </c>
    </row>
    <row r="18" spans="1:9" x14ac:dyDescent="0.3">
      <c r="A18" s="9" t="s">
        <v>50</v>
      </c>
      <c r="B18" s="2" t="s">
        <v>4</v>
      </c>
      <c r="C18" s="2" t="s">
        <v>51</v>
      </c>
      <c r="G18" s="2" t="str">
        <f t="shared" si="0"/>
        <v>09</v>
      </c>
      <c r="H18" s="2" t="s">
        <v>52</v>
      </c>
      <c r="I18" s="1" t="str">
        <f t="shared" si="2"/>
        <v>BC CB 97 09 75 65 0C 03 03 30 03 1F 45 51 52</v>
      </c>
    </row>
    <row r="20" spans="1:9" x14ac:dyDescent="0.3">
      <c r="A20" s="9" t="s">
        <v>57</v>
      </c>
      <c r="B20" s="2" t="s">
        <v>34</v>
      </c>
      <c r="C20" s="2" t="s">
        <v>39</v>
      </c>
    </row>
    <row r="21" spans="1:9" x14ac:dyDescent="0.3">
      <c r="A21" s="9" t="s">
        <v>58</v>
      </c>
      <c r="B21" s="2" t="s">
        <v>59</v>
      </c>
      <c r="C21" s="2" t="s">
        <v>60</v>
      </c>
    </row>
    <row r="22" spans="1:9" ht="28.8" x14ac:dyDescent="0.3">
      <c r="A22" s="9" t="s">
        <v>107</v>
      </c>
      <c r="B22" s="2" t="s">
        <v>65</v>
      </c>
      <c r="C22" s="2" t="s">
        <v>68</v>
      </c>
      <c r="D22" s="2" t="s">
        <v>69</v>
      </c>
      <c r="G22" s="2" t="str">
        <f t="shared" ref="G22:G33" si="3">DEC2HEX(LEN(SUBSTITUTE(H22," ",""))/2,2)</f>
        <v>0C</v>
      </c>
      <c r="H22" s="2" t="s">
        <v>67</v>
      </c>
      <c r="I22" s="1" t="str">
        <f t="shared" ref="I22:I35" si="4">"BC"&amp;" CB"&amp;" 97 "&amp;G22&amp;" "&amp;H22&amp;" 51"&amp;" 52"</f>
        <v>BC CB 97 0C 75 65 0D 06 06 50 01 00 05 01 4A 74 51 52</v>
      </c>
    </row>
    <row r="23" spans="1:9" ht="28.8" x14ac:dyDescent="0.3">
      <c r="A23" s="9" t="s">
        <v>108</v>
      </c>
      <c r="B23" s="2" t="s">
        <v>65</v>
      </c>
      <c r="C23" s="2" t="s">
        <v>68</v>
      </c>
      <c r="D23" s="2" t="s">
        <v>69</v>
      </c>
      <c r="G23" s="2" t="str">
        <f t="shared" si="3"/>
        <v>0B</v>
      </c>
      <c r="H23" s="2" t="s">
        <v>70</v>
      </c>
      <c r="I23" s="1" t="str">
        <f t="shared" si="4"/>
        <v>BC CB 97 0B 75 65 0D 05 05 50 02 00 05 48 22 51 52</v>
      </c>
    </row>
    <row r="24" spans="1:9" x14ac:dyDescent="0.3">
      <c r="A24" s="9" t="s">
        <v>77</v>
      </c>
      <c r="B24" s="2" t="s">
        <v>4</v>
      </c>
      <c r="C24" s="2" t="s">
        <v>73</v>
      </c>
      <c r="D24" s="2" t="s">
        <v>74</v>
      </c>
      <c r="G24" s="2" t="str">
        <f t="shared" si="3"/>
        <v>0A</v>
      </c>
      <c r="H24" s="2" t="s">
        <v>78</v>
      </c>
      <c r="I24" s="1" t="str">
        <f t="shared" si="4"/>
        <v>BC CB 97 0A 75 65 0C 04 04 28 01 02 19 53 51 52</v>
      </c>
    </row>
    <row r="25" spans="1:9" x14ac:dyDescent="0.3">
      <c r="A25" s="9" t="s">
        <v>79</v>
      </c>
      <c r="B25" s="2" t="s">
        <v>4</v>
      </c>
      <c r="C25" s="2" t="s">
        <v>73</v>
      </c>
      <c r="D25" s="2" t="s">
        <v>74</v>
      </c>
      <c r="G25" s="2" t="str">
        <f t="shared" si="3"/>
        <v>0A</v>
      </c>
      <c r="H25" s="5" t="s">
        <v>81</v>
      </c>
      <c r="I25" s="1" t="str">
        <f t="shared" si="4"/>
        <v>BC CB 97 0A 75 65 0C 04 04 28 01 01 18 52 51 52</v>
      </c>
    </row>
    <row r="26" spans="1:9" x14ac:dyDescent="0.3">
      <c r="A26" s="9" t="s">
        <v>80</v>
      </c>
      <c r="B26" s="2" t="s">
        <v>4</v>
      </c>
      <c r="C26" s="2" t="s">
        <v>73</v>
      </c>
      <c r="D26" s="2" t="s">
        <v>74</v>
      </c>
      <c r="G26" s="2" t="str">
        <f t="shared" si="3"/>
        <v>0A</v>
      </c>
      <c r="H26" s="5" t="s">
        <v>82</v>
      </c>
      <c r="I26" s="1" t="str">
        <f t="shared" si="4"/>
        <v>BC CB 97 0A 75 65 0C 04 04 28 01 04 1B 55 51 52</v>
      </c>
    </row>
    <row r="27" spans="1:9" x14ac:dyDescent="0.3">
      <c r="A27" s="9" t="s">
        <v>75</v>
      </c>
      <c r="B27" s="2" t="s">
        <v>4</v>
      </c>
      <c r="C27" s="2" t="s">
        <v>73</v>
      </c>
      <c r="D27" s="2" t="s">
        <v>74</v>
      </c>
      <c r="G27" s="2" t="str">
        <f t="shared" si="3"/>
        <v>09</v>
      </c>
      <c r="H27" s="5" t="s">
        <v>76</v>
      </c>
      <c r="I27" s="1" t="str">
        <f t="shared" si="4"/>
        <v>BC CB 97 09 75 65 0C 03 03 28 02 16 34 51 52</v>
      </c>
    </row>
    <row r="28" spans="1:9" ht="28.8" x14ac:dyDescent="0.3">
      <c r="A28" s="9" t="s">
        <v>93</v>
      </c>
      <c r="H28" s="5"/>
    </row>
    <row r="29" spans="1:9" ht="28.8" x14ac:dyDescent="0.3">
      <c r="A29" s="9" t="s">
        <v>94</v>
      </c>
      <c r="B29" s="2" t="s">
        <v>4</v>
      </c>
      <c r="C29" s="2" t="s">
        <v>95</v>
      </c>
      <c r="D29" s="2" t="s">
        <v>96</v>
      </c>
      <c r="G29" s="2" t="str">
        <f t="shared" si="3"/>
        <v>09</v>
      </c>
      <c r="H29" s="5" t="s">
        <v>97</v>
      </c>
      <c r="I29" s="1" t="str">
        <f t="shared" si="4"/>
        <v>BC CB 97 09 75 65 0C 03 03 33 02 21 4A 51 52</v>
      </c>
    </row>
    <row r="30" spans="1:9" x14ac:dyDescent="0.3">
      <c r="A30" s="9" t="s">
        <v>98</v>
      </c>
      <c r="B30" s="2" t="s">
        <v>65</v>
      </c>
      <c r="C30" s="2" t="s">
        <v>99</v>
      </c>
      <c r="D30" s="2" t="s">
        <v>100</v>
      </c>
      <c r="G30" s="2" t="str">
        <f t="shared" si="3"/>
        <v>0A</v>
      </c>
      <c r="H30" s="5" t="s">
        <v>102</v>
      </c>
      <c r="I30" s="1" t="str">
        <f t="shared" si="4"/>
        <v>BC CB 97 0A 75 65 0D 04 04 54 02 01 46 DE 51 52</v>
      </c>
    </row>
    <row r="31" spans="1:9" x14ac:dyDescent="0.3">
      <c r="A31" s="9" t="s">
        <v>101</v>
      </c>
      <c r="B31" s="2" t="s">
        <v>65</v>
      </c>
      <c r="C31" s="2" t="s">
        <v>99</v>
      </c>
      <c r="D31" s="2" t="s">
        <v>100</v>
      </c>
      <c r="G31" s="2" t="str">
        <f t="shared" si="3"/>
        <v>0A</v>
      </c>
      <c r="H31" s="5" t="s">
        <v>103</v>
      </c>
      <c r="I31" s="1" t="str">
        <f t="shared" si="4"/>
        <v>BC CB 97 0A 75 65 0D 04 04 54 02 02 47 DF 51 52</v>
      </c>
    </row>
    <row r="32" spans="1:9" x14ac:dyDescent="0.3">
      <c r="A32" s="9" t="s">
        <v>104</v>
      </c>
      <c r="B32" s="2" t="s">
        <v>59</v>
      </c>
      <c r="C32" s="2" t="s">
        <v>6</v>
      </c>
      <c r="D32" s="2" t="s">
        <v>105</v>
      </c>
      <c r="G32" s="2" t="str">
        <f t="shared" si="3"/>
        <v>0B</v>
      </c>
      <c r="H32" s="5" t="s">
        <v>106</v>
      </c>
      <c r="I32" s="1" t="str">
        <f t="shared" si="4"/>
        <v>BC CB 97 0B 75 65 13 05 05 01 02 01 01 FC 0E 51 52</v>
      </c>
    </row>
    <row r="33" spans="1:22" s="7" customFormat="1" ht="28.8" x14ac:dyDescent="0.3">
      <c r="A33" s="10" t="s">
        <v>124</v>
      </c>
      <c r="B33" s="5" t="s">
        <v>65</v>
      </c>
      <c r="C33" s="5" t="s">
        <v>125</v>
      </c>
      <c r="D33" s="5" t="s">
        <v>126</v>
      </c>
      <c r="E33" s="5"/>
      <c r="F33" s="5"/>
      <c r="G33" s="5" t="str">
        <f t="shared" si="3"/>
        <v>09</v>
      </c>
      <c r="H33" s="5" t="s">
        <v>127</v>
      </c>
      <c r="I33" s="8" t="str">
        <f t="shared" si="4"/>
        <v>BC CB 97 09 75 65 0D 03 03 52 02 41 8D 51 52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3">
      <c r="A34" s="9" t="s">
        <v>89</v>
      </c>
      <c r="B34" s="5" t="s">
        <v>4</v>
      </c>
      <c r="C34" s="5" t="s">
        <v>45</v>
      </c>
      <c r="D34" s="5" t="s">
        <v>91</v>
      </c>
      <c r="E34" s="5" t="s">
        <v>6</v>
      </c>
      <c r="F34" s="6"/>
      <c r="G34" s="5" t="str">
        <f t="shared" ref="G34:G35" si="5">DEC2HEX(LEN(SUBSTITUTE(H34," ",""))/2,2)</f>
        <v>0B</v>
      </c>
      <c r="H34" s="5" t="s">
        <v>49</v>
      </c>
      <c r="I34" s="6" t="str">
        <f t="shared" si="4"/>
        <v>BC CB 97 0B 75 65 0C 05 05 11 01 82 01 85 1C 51 52</v>
      </c>
    </row>
    <row r="35" spans="1:22" x14ac:dyDescent="0.3">
      <c r="A35" s="9" t="s">
        <v>90</v>
      </c>
      <c r="B35" s="5" t="s">
        <v>4</v>
      </c>
      <c r="C35" s="5" t="s">
        <v>45</v>
      </c>
      <c r="D35" s="5" t="s">
        <v>91</v>
      </c>
      <c r="E35" s="5" t="s">
        <v>6</v>
      </c>
      <c r="F35" s="6"/>
      <c r="G35" s="5" t="str">
        <f t="shared" si="5"/>
        <v>0B</v>
      </c>
      <c r="H35" s="5" t="s">
        <v>92</v>
      </c>
      <c r="I35" s="6" t="str">
        <f t="shared" si="4"/>
        <v>BC CB 97 0B 75 65 0C 05 05 11 01 82 00 84 1B 51 52</v>
      </c>
    </row>
    <row r="37" spans="1:22" x14ac:dyDescent="0.3">
      <c r="A37" s="13" t="s">
        <v>114</v>
      </c>
      <c r="B37" s="13"/>
      <c r="C37" s="13"/>
    </row>
    <row r="38" spans="1:22" x14ac:dyDescent="0.3">
      <c r="A38" s="9" t="s">
        <v>113</v>
      </c>
      <c r="B38" s="5" t="s">
        <v>4</v>
      </c>
      <c r="C38" s="5" t="s">
        <v>65</v>
      </c>
      <c r="G38" s="5" t="str">
        <f>DEC2HEX(LEN(SUBSTITUTE(H38," ",""))/2,2)</f>
        <v>0C</v>
      </c>
      <c r="H38" s="2" t="s">
        <v>116</v>
      </c>
      <c r="I38" t="str">
        <f>"BC"&amp;" CB"&amp;" 98 "&amp;G38&amp;" "&amp;H38&amp;" 51"&amp;" 52"</f>
        <v>BC CB 98 0C 75 65 0C 06 06 0D 82 00 01 10 92 28 51 52</v>
      </c>
    </row>
    <row r="39" spans="1:22" x14ac:dyDescent="0.3">
      <c r="A39" s="9" t="s">
        <v>83</v>
      </c>
      <c r="B39" s="5" t="s">
        <v>4</v>
      </c>
      <c r="C39" s="5" t="s">
        <v>65</v>
      </c>
      <c r="D39" s="5"/>
      <c r="E39" s="5"/>
      <c r="F39" s="6"/>
      <c r="G39" s="5" t="str">
        <f>DEC2HEX(LEN(SUBSTITUTE(H39," ",""))/2,2)</f>
        <v>0C</v>
      </c>
      <c r="H39" s="5" t="s">
        <v>84</v>
      </c>
      <c r="I39" t="str">
        <f>"BC"&amp;" CB"&amp;" 98 "&amp;G39&amp;" "&amp;H39&amp;" 51"&amp;" 52"</f>
        <v>BC CB 98 0C 75 65 0C 06 06 0D A0 00 01 02 A2 92 51 52</v>
      </c>
    </row>
    <row r="40" spans="1:22" ht="28.8" x14ac:dyDescent="0.3">
      <c r="A40" s="9" t="s">
        <v>123</v>
      </c>
      <c r="B40" s="5" t="s">
        <v>4</v>
      </c>
      <c r="C40" s="5" t="s">
        <v>65</v>
      </c>
      <c r="D40" s="5"/>
      <c r="E40" s="5"/>
      <c r="F40" s="6"/>
      <c r="G40" s="5" t="str">
        <f>DEC2HEX(LEN(SUBSTITUTE(H40," ",""))/2,2)</f>
        <v>0C</v>
      </c>
      <c r="H40" s="5" t="s">
        <v>66</v>
      </c>
      <c r="I40" t="str">
        <f>"BC"&amp;" CB"&amp;" 98 "&amp;G40&amp;" "&amp;H40&amp;" 51"&amp;" 52"</f>
        <v>BC CB 98 0C 75 65 0C 06 06 0D 82 00 01 46 C8 5E 51 52</v>
      </c>
    </row>
    <row r="41" spans="1:22" ht="28.8" x14ac:dyDescent="0.3">
      <c r="A41" s="9" t="s">
        <v>85</v>
      </c>
      <c r="B41" s="5" t="s">
        <v>4</v>
      </c>
      <c r="C41" s="5" t="s">
        <v>65</v>
      </c>
      <c r="D41" s="5"/>
      <c r="E41" s="5"/>
      <c r="F41" s="6"/>
      <c r="G41" s="5"/>
      <c r="H41" s="5"/>
    </row>
    <row r="42" spans="1:22" x14ac:dyDescent="0.3">
      <c r="B42" s="5"/>
      <c r="C42" s="5"/>
      <c r="D42" s="5"/>
      <c r="E42" s="5"/>
      <c r="F42" s="6"/>
      <c r="G42" s="5"/>
      <c r="H42" s="5"/>
    </row>
    <row r="43" spans="1:22" x14ac:dyDescent="0.3">
      <c r="B43" s="5"/>
      <c r="C43" s="5"/>
      <c r="D43" s="5"/>
      <c r="E43" s="5"/>
      <c r="F43" s="6"/>
      <c r="G43" s="5"/>
      <c r="H43" s="5"/>
    </row>
    <row r="45" spans="1:22" x14ac:dyDescent="0.3">
      <c r="A45" s="14" t="s">
        <v>115</v>
      </c>
      <c r="B45" s="14"/>
      <c r="C45" s="14"/>
    </row>
    <row r="46" spans="1:22" ht="28.8" x14ac:dyDescent="0.3">
      <c r="A46" s="11" t="s">
        <v>86</v>
      </c>
      <c r="B46" s="5" t="s">
        <v>4</v>
      </c>
      <c r="C46" s="5" t="s">
        <v>40</v>
      </c>
      <c r="D46" s="5"/>
      <c r="E46" s="5"/>
      <c r="F46" s="6"/>
      <c r="G46" s="5" t="str">
        <f t="shared" ref="G46:G51" si="6">DEC2HEX(LEN(SUBSTITUTE(H46," ",""))/2,2)</f>
        <v>11</v>
      </c>
      <c r="H46" s="5" t="s">
        <v>87</v>
      </c>
      <c r="I46" s="6" t="str">
        <f t="shared" ref="I46:I52" si="7">"BC"&amp;" CB"&amp;" 97 "&amp;G46&amp;" "&amp;H46&amp;" 51"&amp;" 52"</f>
        <v>BC CB 97 11 75 65 0C 0B 0B 0F 01 82 02 D3 00 64 49 00 64 74 78 51 52</v>
      </c>
    </row>
    <row r="47" spans="1:22" ht="28.8" x14ac:dyDescent="0.3">
      <c r="A47" s="9" t="s">
        <v>88</v>
      </c>
      <c r="B47" s="5" t="s">
        <v>4</v>
      </c>
      <c r="C47" s="5" t="s">
        <v>40</v>
      </c>
      <c r="D47" s="5" t="s">
        <v>41</v>
      </c>
      <c r="E47" s="5"/>
      <c r="F47" s="6"/>
      <c r="G47" s="5" t="str">
        <f t="shared" si="6"/>
        <v>0E</v>
      </c>
      <c r="H47" s="5" t="s">
        <v>43</v>
      </c>
      <c r="I47" s="6" t="str">
        <f t="shared" si="7"/>
        <v>BC CB 97 0E 75 65 0C 08 08 0F 01 82 01 49 00 64 36 0F 51 52</v>
      </c>
    </row>
    <row r="48" spans="1:22" ht="43.2" x14ac:dyDescent="0.3">
      <c r="A48" s="9" t="s">
        <v>110</v>
      </c>
      <c r="B48" s="5" t="s">
        <v>4</v>
      </c>
      <c r="C48" s="5" t="s">
        <v>40</v>
      </c>
      <c r="D48" s="5" t="s">
        <v>41</v>
      </c>
      <c r="E48" s="5"/>
      <c r="F48" s="6"/>
      <c r="G48" s="5" t="str">
        <f t="shared" si="6"/>
        <v>14</v>
      </c>
      <c r="H48" s="5" t="s">
        <v>109</v>
      </c>
      <c r="I48" s="6" t="str">
        <f t="shared" si="7"/>
        <v>BC CB 97 14 75 65 0C 0E 0E 0F 01 82 03 D3 00 64 49 00 64 46 00 64 25 6B 51 52</v>
      </c>
    </row>
    <row r="49" spans="1:9" ht="28.8" x14ac:dyDescent="0.3">
      <c r="A49" s="9" t="s">
        <v>112</v>
      </c>
      <c r="B49" s="5" t="s">
        <v>4</v>
      </c>
      <c r="C49" s="5" t="s">
        <v>40</v>
      </c>
      <c r="D49" s="5" t="s">
        <v>41</v>
      </c>
      <c r="E49" s="5"/>
      <c r="F49" s="6"/>
      <c r="G49" s="5" t="str">
        <f t="shared" si="6"/>
        <v>0E</v>
      </c>
      <c r="H49" s="5" t="s">
        <v>111</v>
      </c>
      <c r="I49" s="6" t="str">
        <f t="shared" si="7"/>
        <v>BC CB 97 0E 75 65 0C 08 08 0F 01 82 01 46 00 64 33 06 51 52</v>
      </c>
    </row>
    <row r="50" spans="1:9" ht="43.2" x14ac:dyDescent="0.3">
      <c r="A50" s="11" t="s">
        <v>117</v>
      </c>
      <c r="B50" s="5" t="s">
        <v>4</v>
      </c>
      <c r="C50" s="5" t="s">
        <v>40</v>
      </c>
      <c r="D50" s="5" t="s">
        <v>41</v>
      </c>
      <c r="G50" s="5" t="str">
        <f t="shared" si="6"/>
        <v>14</v>
      </c>
      <c r="H50" s="5" t="s">
        <v>118</v>
      </c>
      <c r="I50" s="6" t="str">
        <f t="shared" si="7"/>
        <v>BC CB 97 14 75 65 0C 0E 0E 0F 01 82 03 D3 00 64 49 00 64 10 00 64 EF C9 51 52</v>
      </c>
    </row>
    <row r="51" spans="1:9" ht="57.6" x14ac:dyDescent="0.3">
      <c r="A51" s="12" t="s">
        <v>128</v>
      </c>
      <c r="B51" s="5" t="s">
        <v>4</v>
      </c>
      <c r="C51" s="5" t="s">
        <v>40</v>
      </c>
      <c r="D51" s="5" t="s">
        <v>41</v>
      </c>
      <c r="G51" s="5" t="str">
        <f t="shared" si="6"/>
        <v>17</v>
      </c>
      <c r="H51" s="5" t="s">
        <v>129</v>
      </c>
      <c r="I51" s="6" t="str">
        <f t="shared" si="7"/>
        <v>BC CB 97 17 75 65 0C 11 11 0F 01 82 04 D3 00 64 49 00 64 10 00 64 46 00 64 A0 42 51 52</v>
      </c>
    </row>
    <row r="52" spans="1:9" ht="57.6" x14ac:dyDescent="0.3">
      <c r="A52" s="12" t="s">
        <v>130</v>
      </c>
      <c r="B52" s="5" t="s">
        <v>4</v>
      </c>
      <c r="C52" s="5" t="s">
        <v>40</v>
      </c>
      <c r="D52" s="5" t="s">
        <v>41</v>
      </c>
      <c r="G52" s="5" t="str">
        <f t="shared" ref="G52" si="8">DEC2HEX(LEN(SUBSTITUTE(H52," ",""))/2,2)</f>
        <v>17</v>
      </c>
      <c r="H52" s="5" t="s">
        <v>131</v>
      </c>
      <c r="I52" s="6" t="str">
        <f t="shared" si="7"/>
        <v>BC CB 97 17 75 65 0C 11 11 0F 01 82 04 D3 03 E8 49 03 E8 10 03 E8 46 03 E8 BC E8 51 52</v>
      </c>
    </row>
    <row r="53" spans="1:9" ht="57.6" x14ac:dyDescent="0.3">
      <c r="A53" s="12" t="s">
        <v>132</v>
      </c>
      <c r="B53" s="5" t="s">
        <v>4</v>
      </c>
      <c r="C53" s="5" t="s">
        <v>40</v>
      </c>
      <c r="D53" s="5" t="s">
        <v>41</v>
      </c>
      <c r="G53" s="5" t="str">
        <f t="shared" ref="G53" si="9">DEC2HEX(LEN(SUBSTITUTE(H53," ",""))/2,2)</f>
        <v>17</v>
      </c>
      <c r="H53" s="5" t="s">
        <v>133</v>
      </c>
      <c r="I53" s="6" t="str">
        <f t="shared" ref="I53" si="10">"BC"&amp;" CB"&amp;" 97 "&amp;G53&amp;" "&amp;H53&amp;" 51"&amp;" 52"</f>
        <v>BC CB 97 17 75 65 0C 11 11 0F 01 82 04 D3 00 C8 49 00 C8 10 00 C8 46 00 C8 30 DA 51 52</v>
      </c>
    </row>
  </sheetData>
  <mergeCells count="2">
    <mergeCell ref="A37:C37"/>
    <mergeCell ref="A45:C4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8" x14ac:dyDescent="0.4"/>
  <cols>
    <col min="1" max="1" width="34.125" style="3" bestFit="1" customWidth="1"/>
  </cols>
  <sheetData>
    <row r="1" spans="1:1" x14ac:dyDescent="0.4">
      <c r="A1" s="3" t="s">
        <v>11</v>
      </c>
    </row>
    <row r="2" spans="1:1" x14ac:dyDescent="0.4">
      <c r="A2" s="3" t="s">
        <v>12</v>
      </c>
    </row>
    <row r="3" spans="1:1" x14ac:dyDescent="0.4">
      <c r="A3" s="3" t="s">
        <v>13</v>
      </c>
    </row>
    <row r="4" spans="1:1" x14ac:dyDescent="0.4">
      <c r="A4" s="3" t="s">
        <v>14</v>
      </c>
    </row>
    <row r="5" spans="1:1" x14ac:dyDescent="0.4">
      <c r="A5" s="3" t="s">
        <v>15</v>
      </c>
    </row>
    <row r="6" spans="1:1" x14ac:dyDescent="0.4">
      <c r="A6" s="3" t="s">
        <v>16</v>
      </c>
    </row>
    <row r="7" spans="1:1" x14ac:dyDescent="0.4">
      <c r="A7" s="3" t="s">
        <v>17</v>
      </c>
    </row>
    <row r="8" spans="1:1" x14ac:dyDescent="0.4">
      <c r="A8" s="3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2026-02-13T07:39:31Z</dcterms:modified>
</cp:coreProperties>
</file>